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g\Documents\"/>
    </mc:Choice>
  </mc:AlternateContent>
  <xr:revisionPtr revIDLastSave="0" documentId="13_ncr:1_{305C6737-AA5B-418F-8E0F-80F94869019E}" xr6:coauthVersionLast="47" xr6:coauthVersionMax="47" xr10:uidLastSave="{00000000-0000-0000-0000-000000000000}"/>
  <bookViews>
    <workbookView xWindow="-120" yWindow="-120" windowWidth="29040" windowHeight="15720" xr2:uid="{0DD78831-5C8C-4973-B19E-05B45981B92D}"/>
  </bookViews>
  <sheets>
    <sheet name="Лист1" sheetId="1" r:id="rId1"/>
  </sheets>
  <definedNames>
    <definedName name="_xlnm._FilterDatabase" localSheetId="0" hidden="1">Лист1!$A$1:$E$1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E29" i="1"/>
  <c r="E26" i="1"/>
  <c r="E24" i="1"/>
  <c r="E23" i="1"/>
  <c r="E22" i="1"/>
  <c r="E19" i="1"/>
  <c r="E8" i="1"/>
  <c r="E7" i="1"/>
  <c r="E25" i="1"/>
  <c r="E37" i="1"/>
  <c r="E33" i="1"/>
  <c r="E27" i="1"/>
  <c r="E20" i="1"/>
  <c r="E34" i="1"/>
  <c r="E17" i="1"/>
  <c r="E21" i="1"/>
  <c r="E14" i="1"/>
  <c r="E10" i="1"/>
  <c r="E36" i="1"/>
  <c r="E6" i="1"/>
  <c r="E18" i="1"/>
  <c r="E13" i="1"/>
  <c r="E15" i="1"/>
  <c r="E16" i="1"/>
  <c r="E9" i="1"/>
  <c r="E4" i="1"/>
  <c r="E5" i="1"/>
  <c r="E11" i="1"/>
  <c r="E12" i="1"/>
  <c r="E32" i="1"/>
  <c r="E35" i="1"/>
  <c r="E3" i="1"/>
  <c r="E28" i="1"/>
  <c r="E2" i="1"/>
  <c r="E31" i="1"/>
</calcChain>
</file>

<file path=xl/sharedStrings.xml><?xml version="1.0" encoding="utf-8"?>
<sst xmlns="http://schemas.openxmlformats.org/spreadsheetml/2006/main" count="41" uniqueCount="40">
  <si>
    <t>Компания</t>
  </si>
  <si>
    <t>Полипласт</t>
  </si>
  <si>
    <t>АПРИ</t>
  </si>
  <si>
    <t>Интерлизинг</t>
  </si>
  <si>
    <t>СберБанк</t>
  </si>
  <si>
    <t>Глоракс</t>
  </si>
  <si>
    <t>Эталон-Финанс</t>
  </si>
  <si>
    <t>Аэрофьюэлз</t>
  </si>
  <si>
    <t>Тальвен</t>
  </si>
  <si>
    <t>Быстроденьги</t>
  </si>
  <si>
    <t>Рольф</t>
  </si>
  <si>
    <t>Лайм-Займ</t>
  </si>
  <si>
    <t>Роделен</t>
  </si>
  <si>
    <t>Лизинг-Трейд</t>
  </si>
  <si>
    <t>Брусника</t>
  </si>
  <si>
    <t>ЕвроТранс</t>
  </si>
  <si>
    <t>ОФЗ</t>
  </si>
  <si>
    <t>КИФА</t>
  </si>
  <si>
    <t>Whoosh</t>
  </si>
  <si>
    <t>Энергоника</t>
  </si>
  <si>
    <t>Селигдар</t>
  </si>
  <si>
    <t>ПР-Лизинг</t>
  </si>
  <si>
    <t>РЖД</t>
  </si>
  <si>
    <t>МФК Фордевинд</t>
  </si>
  <si>
    <t>Балтийский лизинг</t>
  </si>
  <si>
    <t>Инвест КЦ</t>
  </si>
  <si>
    <t>Интел Коллект</t>
  </si>
  <si>
    <t>Страна Девелопмент</t>
  </si>
  <si>
    <t>Валюта и Металлы</t>
  </si>
  <si>
    <t>АйДи Коллект</t>
  </si>
  <si>
    <t>Мани Мен</t>
  </si>
  <si>
    <t>Биннофарм Групп</t>
  </si>
  <si>
    <t>Лид Капитал</t>
  </si>
  <si>
    <t>АФК Система</t>
  </si>
  <si>
    <t>ГК Самолет</t>
  </si>
  <si>
    <t>СФО ТБ-6</t>
  </si>
  <si>
    <t>Доля в портфеле (%)
Таблица 1</t>
  </si>
  <si>
    <t>Доля в портфеле (%)
Таблица 2</t>
  </si>
  <si>
    <t>№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</si>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</sst>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7F76-E7AE-4B03-A994-0B93E5A1C9FD}">
  <dimension ref="A1:E39"/>
  <sheetViews>
    <sheetView tabSelected="1" workbookViewId="0">
      <selection activeCell="D3" sqref="D3"/>
    </sheetView>
  </sheetViews>
  <sheetFormatPr defaultRowHeight="15" x14ac:dyDescent="0.25"/>
  <cols>
    <col min="1" max="1" width="9.140625" style="6"/>
    <col min="2" max="2" width="21.28515625" style="4" customWidth="1"/>
    <col min="3" max="3" width="20.42578125" style="6" customWidth="1"/>
    <col min="4" max="4" width="20" style="6" customWidth="1"/>
    <col min="5" max="5" width="20.5703125" customWidth="1"/>
    <col min="6" max="6" width="20.28515625" customWidth="1"/>
  </cols>
  <sheetData>
    <row r="1" spans="1:5" ht="45" x14ac:dyDescent="0.25">
      <c r="A1" s="2" t="s">
        <v>38</v>
      </c>
      <c r="B1" s="1" t="s">
        <v>0</v>
      </c>
      <c r="C1" s="2" t="s">
        <v>36</v>
      </c>
      <c r="D1" s="2" t="s">
        <v>37</v>
      </c>
      <c r="E1" s="2" t="s">
        <v>39</v>
      </c>
    </row>
    <row r="2" spans="1:5" x14ac:dyDescent="0.25">
      <c r="A2" s="5">
        <v>1</v>
      </c>
      <c r="B2" s="3" t="s">
        <v>1</v>
      </c>
      <c r="C2" s="5">
        <v>41.3</v>
      </c>
      <c r="D2" s="7">
        <v>22.5</v>
      </c>
      <c r="E2" s="5">
        <f>C2-D2</f>
        <v>18.799999999999997</v>
      </c>
    </row>
    <row r="3" spans="1:5" x14ac:dyDescent="0.25">
      <c r="A3" s="5">
        <v>3</v>
      </c>
      <c r="B3" s="3" t="s">
        <v>23</v>
      </c>
      <c r="C3" s="5">
        <v>5.31</v>
      </c>
      <c r="D3" s="5">
        <v>5.72</v>
      </c>
      <c r="E3" s="5">
        <f>C3-D3</f>
        <v>-0.41000000000000014</v>
      </c>
    </row>
    <row r="4" spans="1:5" x14ac:dyDescent="0.25">
      <c r="A4" s="5">
        <v>4</v>
      </c>
      <c r="B4" s="3" t="s">
        <v>24</v>
      </c>
      <c r="C4" s="5">
        <v>5.31</v>
      </c>
      <c r="D4" s="5">
        <v>5.6</v>
      </c>
      <c r="E4" s="5">
        <f>C4-D4</f>
        <v>-0.29000000000000004</v>
      </c>
    </row>
    <row r="5" spans="1:5" x14ac:dyDescent="0.25">
      <c r="A5" s="5">
        <v>7</v>
      </c>
      <c r="B5" s="3" t="s">
        <v>25</v>
      </c>
      <c r="C5" s="5">
        <v>5.19</v>
      </c>
      <c r="D5" s="5">
        <v>4.76</v>
      </c>
      <c r="E5" s="5">
        <f>C5-D5</f>
        <v>0.4300000000000006</v>
      </c>
    </row>
    <row r="6" spans="1:5" x14ac:dyDescent="0.25">
      <c r="A6" s="5">
        <v>8</v>
      </c>
      <c r="B6" s="3" t="s">
        <v>2</v>
      </c>
      <c r="C6" s="5">
        <v>3.69</v>
      </c>
      <c r="D6" s="5">
        <v>4.0999999999999996</v>
      </c>
      <c r="E6" s="5">
        <f>C6-D6</f>
        <v>-0.4099999999999997</v>
      </c>
    </row>
    <row r="7" spans="1:5" x14ac:dyDescent="0.25">
      <c r="A7" s="5">
        <v>9</v>
      </c>
      <c r="B7" s="3" t="s">
        <v>3</v>
      </c>
      <c r="C7" s="5">
        <v>3.29</v>
      </c>
      <c r="D7" s="5">
        <v>0.36</v>
      </c>
      <c r="E7" s="5">
        <f>C7-D7</f>
        <v>2.93</v>
      </c>
    </row>
    <row r="8" spans="1:5" x14ac:dyDescent="0.25">
      <c r="A8" s="5">
        <v>10</v>
      </c>
      <c r="B8" s="3" t="s">
        <v>4</v>
      </c>
      <c r="C8" s="5">
        <v>3.12</v>
      </c>
      <c r="D8" s="5">
        <v>0</v>
      </c>
      <c r="E8" s="5">
        <f>C8-D8</f>
        <v>3.12</v>
      </c>
    </row>
    <row r="9" spans="1:5" x14ac:dyDescent="0.25">
      <c r="A9" s="5">
        <v>11</v>
      </c>
      <c r="B9" s="3" t="s">
        <v>26</v>
      </c>
      <c r="C9" s="5">
        <v>3.11</v>
      </c>
      <c r="D9" s="5">
        <v>4.26</v>
      </c>
      <c r="E9" s="5">
        <f>C9-D9</f>
        <v>-1.1499999999999999</v>
      </c>
    </row>
    <row r="10" spans="1:5" x14ac:dyDescent="0.25">
      <c r="A10" s="5">
        <v>12</v>
      </c>
      <c r="B10" s="3" t="s">
        <v>5</v>
      </c>
      <c r="C10" s="5">
        <v>3.02</v>
      </c>
      <c r="D10" s="5">
        <v>2.0699999999999998</v>
      </c>
      <c r="E10" s="5">
        <f>C10-D10</f>
        <v>0.95000000000000018</v>
      </c>
    </row>
    <row r="11" spans="1:5" x14ac:dyDescent="0.25">
      <c r="A11" s="5">
        <v>13</v>
      </c>
      <c r="B11" s="3" t="s">
        <v>6</v>
      </c>
      <c r="C11" s="5">
        <v>2.29</v>
      </c>
      <c r="D11" s="5">
        <v>2.0499999999999998</v>
      </c>
      <c r="E11" s="5">
        <f>C11-D11</f>
        <v>0.24000000000000021</v>
      </c>
    </row>
    <row r="12" spans="1:5" x14ac:dyDescent="0.25">
      <c r="A12" s="5">
        <v>14</v>
      </c>
      <c r="B12" s="3" t="s">
        <v>7</v>
      </c>
      <c r="C12" s="5">
        <v>2.2799999999999998</v>
      </c>
      <c r="D12" s="5">
        <v>2.08</v>
      </c>
      <c r="E12" s="5">
        <f>C12-D12</f>
        <v>0.19999999999999973</v>
      </c>
    </row>
    <row r="13" spans="1:5" x14ac:dyDescent="0.25">
      <c r="A13" s="5">
        <v>15</v>
      </c>
      <c r="B13" s="3" t="s">
        <v>27</v>
      </c>
      <c r="C13" s="5">
        <v>2.15</v>
      </c>
      <c r="D13" s="5">
        <v>2.74</v>
      </c>
      <c r="E13" s="5">
        <f>C13-D13</f>
        <v>-0.5900000000000003</v>
      </c>
    </row>
    <row r="14" spans="1:5" x14ac:dyDescent="0.25">
      <c r="A14" s="5">
        <v>17</v>
      </c>
      <c r="B14" s="3" t="s">
        <v>8</v>
      </c>
      <c r="C14" s="5">
        <v>1.7</v>
      </c>
      <c r="D14" s="5">
        <v>1.71</v>
      </c>
      <c r="E14" s="5">
        <f>C14-D14</f>
        <v>-1.0000000000000009E-2</v>
      </c>
    </row>
    <row r="15" spans="1:5" x14ac:dyDescent="0.25">
      <c r="A15" s="5">
        <v>18</v>
      </c>
      <c r="B15" s="3" t="s">
        <v>28</v>
      </c>
      <c r="C15" s="5">
        <v>1.69</v>
      </c>
      <c r="D15" s="5">
        <v>2.8</v>
      </c>
      <c r="E15" s="5">
        <f>C15-D15</f>
        <v>-1.1099999999999999</v>
      </c>
    </row>
    <row r="16" spans="1:5" x14ac:dyDescent="0.25">
      <c r="A16" s="5">
        <v>19</v>
      </c>
      <c r="B16" s="3" t="s">
        <v>29</v>
      </c>
      <c r="C16" s="5">
        <v>1.35</v>
      </c>
      <c r="D16" s="5">
        <v>3.08</v>
      </c>
      <c r="E16" s="5">
        <f>C16-D16</f>
        <v>-1.73</v>
      </c>
    </row>
    <row r="17" spans="1:5" x14ac:dyDescent="0.25">
      <c r="A17" s="5">
        <v>20</v>
      </c>
      <c r="B17" s="3" t="s">
        <v>30</v>
      </c>
      <c r="C17" s="5">
        <v>1.34</v>
      </c>
      <c r="D17" s="5">
        <v>1.53</v>
      </c>
      <c r="E17" s="5">
        <f>C17-D17</f>
        <v>-0.18999999999999995</v>
      </c>
    </row>
    <row r="18" spans="1:5" x14ac:dyDescent="0.25">
      <c r="A18" s="5">
        <v>21</v>
      </c>
      <c r="B18" s="3" t="s">
        <v>9</v>
      </c>
      <c r="C18" s="5">
        <v>1.27</v>
      </c>
      <c r="D18" s="5">
        <v>2.69</v>
      </c>
      <c r="E18" s="5">
        <f>C18-D18</f>
        <v>-1.42</v>
      </c>
    </row>
    <row r="19" spans="1:5" x14ac:dyDescent="0.25">
      <c r="A19" s="5">
        <v>22</v>
      </c>
      <c r="B19" s="3" t="s">
        <v>10</v>
      </c>
      <c r="C19" s="5">
        <v>1.25</v>
      </c>
      <c r="D19" s="5">
        <v>1.99</v>
      </c>
      <c r="E19" s="5">
        <f>C19-D19</f>
        <v>-0.74</v>
      </c>
    </row>
    <row r="20" spans="1:5" x14ac:dyDescent="0.25">
      <c r="A20" s="5">
        <v>23</v>
      </c>
      <c r="B20" s="3" t="s">
        <v>31</v>
      </c>
      <c r="C20" s="5">
        <v>1.2</v>
      </c>
      <c r="D20" s="5">
        <v>1.05</v>
      </c>
      <c r="E20" s="5">
        <f>C20-D20</f>
        <v>0.14999999999999991</v>
      </c>
    </row>
    <row r="21" spans="1:5" x14ac:dyDescent="0.25">
      <c r="A21" s="5">
        <v>24</v>
      </c>
      <c r="B21" s="3" t="s">
        <v>32</v>
      </c>
      <c r="C21" s="5">
        <v>1.04</v>
      </c>
      <c r="D21" s="5">
        <v>1.58</v>
      </c>
      <c r="E21" s="5">
        <f>C21-D21</f>
        <v>-0.54</v>
      </c>
    </row>
    <row r="22" spans="1:5" x14ac:dyDescent="0.25">
      <c r="A22" s="5">
        <v>25</v>
      </c>
      <c r="B22" s="3" t="s">
        <v>11</v>
      </c>
      <c r="C22" s="5">
        <v>1</v>
      </c>
      <c r="D22" s="5">
        <v>0</v>
      </c>
      <c r="E22" s="5">
        <f>C22-D22</f>
        <v>1</v>
      </c>
    </row>
    <row r="23" spans="1:5" x14ac:dyDescent="0.25">
      <c r="A23" s="5">
        <v>26</v>
      </c>
      <c r="B23" s="3" t="s">
        <v>33</v>
      </c>
      <c r="C23" s="5">
        <v>0.95</v>
      </c>
      <c r="D23" s="5">
        <v>0</v>
      </c>
      <c r="E23" s="5">
        <f>C23-D23</f>
        <v>0.95</v>
      </c>
    </row>
    <row r="24" spans="1:5" x14ac:dyDescent="0.25">
      <c r="A24" s="5">
        <v>27</v>
      </c>
      <c r="B24" s="3" t="s">
        <v>12</v>
      </c>
      <c r="C24" s="5">
        <v>0.94</v>
      </c>
      <c r="D24" s="5">
        <v>0</v>
      </c>
      <c r="E24" s="5">
        <f>C24-D24</f>
        <v>0.94</v>
      </c>
    </row>
    <row r="25" spans="1:5" x14ac:dyDescent="0.25">
      <c r="A25" s="5">
        <v>28</v>
      </c>
      <c r="B25" s="3" t="s">
        <v>13</v>
      </c>
      <c r="C25" s="5">
        <v>0.92</v>
      </c>
      <c r="D25" s="5">
        <v>0.36</v>
      </c>
      <c r="E25" s="5">
        <f>C25-D25</f>
        <v>0.56000000000000005</v>
      </c>
    </row>
    <row r="26" spans="1:5" x14ac:dyDescent="0.25">
      <c r="A26" s="5">
        <v>29</v>
      </c>
      <c r="B26" s="3" t="s">
        <v>14</v>
      </c>
      <c r="C26" s="5">
        <v>0.88</v>
      </c>
      <c r="D26" s="5">
        <v>0</v>
      </c>
      <c r="E26" s="5">
        <f>C26-D26</f>
        <v>0.88</v>
      </c>
    </row>
    <row r="27" spans="1:5" x14ac:dyDescent="0.25">
      <c r="A27" s="5">
        <v>30</v>
      </c>
      <c r="B27" s="3" t="s">
        <v>15</v>
      </c>
      <c r="C27" s="5">
        <v>0.78</v>
      </c>
      <c r="D27" s="5">
        <v>0.63</v>
      </c>
      <c r="E27" s="5">
        <f>C27-D27</f>
        <v>0.15000000000000002</v>
      </c>
    </row>
    <row r="28" spans="1:5" x14ac:dyDescent="0.25">
      <c r="A28" s="5">
        <v>2</v>
      </c>
      <c r="B28" s="3" t="s">
        <v>16</v>
      </c>
      <c r="C28" s="5">
        <v>0.73</v>
      </c>
      <c r="D28" s="7">
        <v>13.16</v>
      </c>
      <c r="E28" s="5">
        <f>C28-D28</f>
        <v>-12.43</v>
      </c>
    </row>
    <row r="29" spans="1:5" x14ac:dyDescent="0.25">
      <c r="A29" s="5">
        <v>31</v>
      </c>
      <c r="B29" s="3" t="s">
        <v>17</v>
      </c>
      <c r="C29" s="5">
        <v>0.46</v>
      </c>
      <c r="D29" s="5">
        <v>0</v>
      </c>
      <c r="E29" s="5">
        <f>C29-D29</f>
        <v>0.46</v>
      </c>
    </row>
    <row r="30" spans="1:5" x14ac:dyDescent="0.25">
      <c r="A30" s="5">
        <v>32</v>
      </c>
      <c r="B30" s="3" t="s">
        <v>18</v>
      </c>
      <c r="C30" s="5">
        <v>0.44</v>
      </c>
      <c r="D30" s="5">
        <v>0.67</v>
      </c>
      <c r="E30" s="5">
        <f>C30-D30</f>
        <v>-0.23000000000000004</v>
      </c>
    </row>
    <row r="31" spans="1:5" x14ac:dyDescent="0.25">
      <c r="A31" s="5">
        <v>33</v>
      </c>
      <c r="B31" s="3" t="s">
        <v>19</v>
      </c>
      <c r="C31" s="5">
        <v>0.34</v>
      </c>
      <c r="D31" s="5">
        <v>0</v>
      </c>
      <c r="E31" s="5">
        <f>C31-D31</f>
        <v>0.34</v>
      </c>
    </row>
    <row r="32" spans="1:5" x14ac:dyDescent="0.25">
      <c r="A32" s="5">
        <v>6</v>
      </c>
      <c r="B32" s="3" t="s">
        <v>20</v>
      </c>
      <c r="C32" s="5">
        <v>0.33</v>
      </c>
      <c r="D32" s="5">
        <v>1.07</v>
      </c>
      <c r="E32" s="5">
        <f>C32-D32</f>
        <v>-0.74</v>
      </c>
    </row>
    <row r="33" spans="1:5" x14ac:dyDescent="0.25">
      <c r="A33" s="5">
        <v>34</v>
      </c>
      <c r="B33" s="3" t="s">
        <v>21</v>
      </c>
      <c r="C33" s="5">
        <v>0.28000000000000003</v>
      </c>
      <c r="D33" s="5">
        <v>0.63</v>
      </c>
      <c r="E33" s="5">
        <f>C33-D33</f>
        <v>-0.35</v>
      </c>
    </row>
    <row r="34" spans="1:5" x14ac:dyDescent="0.25">
      <c r="A34" s="5">
        <v>35</v>
      </c>
      <c r="B34" s="3" t="s">
        <v>34</v>
      </c>
      <c r="C34" s="5">
        <v>0.27</v>
      </c>
      <c r="D34" s="5">
        <v>0</v>
      </c>
      <c r="E34" s="5">
        <f>C34-D34</f>
        <v>0.27</v>
      </c>
    </row>
    <row r="35" spans="1:5" x14ac:dyDescent="0.25">
      <c r="A35" s="5">
        <v>5</v>
      </c>
      <c r="B35" s="3" t="s">
        <v>22</v>
      </c>
      <c r="C35" s="5">
        <v>0</v>
      </c>
      <c r="D35" s="7">
        <v>5.24</v>
      </c>
      <c r="E35" s="5">
        <f>C35-D35</f>
        <v>-5.24</v>
      </c>
    </row>
    <row r="36" spans="1:5" x14ac:dyDescent="0.25">
      <c r="A36" s="5">
        <v>16</v>
      </c>
      <c r="B36" s="3" t="s">
        <v>35</v>
      </c>
      <c r="C36" s="5">
        <v>0</v>
      </c>
      <c r="D36" s="7">
        <v>2.17</v>
      </c>
      <c r="E36" s="5">
        <f>C36-D36</f>
        <v>-2.17</v>
      </c>
    </row>
    <row r="37" spans="1:5" x14ac:dyDescent="0.25">
      <c r="A37" s="5">
        <v>38</v>
      </c>
      <c r="B37" s="3" t="s">
        <v>15</v>
      </c>
      <c r="C37" s="5">
        <v>0</v>
      </c>
      <c r="D37" s="5">
        <v>0.63</v>
      </c>
      <c r="E37" s="5">
        <f>C37-D37</f>
        <v>-0.63</v>
      </c>
    </row>
    <row r="38" spans="1:5" x14ac:dyDescent="0.25">
      <c r="A38"/>
    </row>
    <row r="39" spans="1:5" x14ac:dyDescent="0.25">
      <c r="A39"/>
    </row>
  </sheetData>
  <autoFilter ref="A1:E1" xr:uid="{1D027F76-E7AE-4B03-A994-0B93E5A1C9FD}">
    <sortState xmlns:xlrd2="http://schemas.microsoft.com/office/spreadsheetml/2017/richdata2" ref="A2:E37">
      <sortCondition descending="1" ref="C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kucher2605@gmail.com</dc:creator>
  <cp:lastModifiedBy>kucher2605@gmail.com</cp:lastModifiedBy>
  <dcterms:created xsi:type="dcterms:W3CDTF">2026-02-13T10:26:51Z</dcterms:created>
  <dcterms:modified xsi:type="dcterms:W3CDTF">2026-02-13T11:31:23Z</dcterms:modified>
</cp:coreProperties>
</file>